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Testing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">
      <text>
        <t xml:space="preserve">Test Case ID: Unique identifier for each test case (e.g., TC001, TC002) used for tracking and bug logging.</t>
      </text>
    </comment>
    <comment authorId="0" ref="B13">
      <text>
        <t xml:space="preserve">Module: Functional feature or area being validated (e.g., Login, Search, Product, Cart, Wishlist, Checkout).</t>
      </text>
    </comment>
    <comment authorId="0" ref="C13">
      <text>
        <t xml:space="preserve">Test Scenario: High-level description of the specific functionality or user behavior under test.</t>
      </text>
    </comment>
    <comment authorId="0" ref="D13">
      <text>
        <t xml:space="preserve">Test Steps: Step-by-step user actions executed sequentially in the browser.</t>
      </text>
    </comment>
    <comment authorId="0" ref="E13">
      <text>
        <t xml:space="preserve">Test Data: Input values, credentials, or parameters used during the test execution (valid and invalid).</t>
      </text>
    </comment>
    <comment authorId="0" ref="F13">
      <text>
        <t xml:space="preserve">Expected Result: Intended and correct system behavior specified by product requirements.</t>
      </text>
    </comment>
    <comment authorId="0" ref="G13">
      <text>
        <t xml:space="preserve">Actual Result: Real observed behavior during testing. Choose 'Done as expected' (Pass), 'Issue observed' (Fail), or 'Pending'.</t>
      </text>
    </comment>
    <comment authorId="0" ref="H13">
      <text>
        <t xml:space="preserve">Status: Current test verdict: Passed, Failed, Blocked, or Not Executed (Pending execution).</t>
      </text>
    </comment>
  </commentList>
</comments>
</file>

<file path=xl/sharedStrings.xml><?xml version="1.0" encoding="utf-8"?>
<sst xmlns="http://schemas.openxmlformats.org/spreadsheetml/2006/main" count="102" uniqueCount="82">
  <si>
    <t>AMAZON.COM PLATFORM - TEST PLAN DOCUMENT</t>
  </si>
  <si>
    <t>Field</t>
  </si>
  <si>
    <t>Details</t>
  </si>
  <si>
    <t>QA EXECUTION SUMMARY</t>
  </si>
  <si>
    <t>Project</t>
  </si>
  <si>
    <t>Amazon.com Website</t>
  </si>
  <si>
    <t>TOTAL TESTS</t>
  </si>
  <si>
    <t>PASSED</t>
  </si>
  <si>
    <t>FAILED</t>
  </si>
  <si>
    <t>EXECUTION PROGRESS</t>
  </si>
  <si>
    <t>Testing Type</t>
  </si>
  <si>
    <t>Automated &amp; Manual Testing</t>
  </si>
  <si>
    <t>Objective</t>
  </si>
  <si>
    <t>Verify that Amazon.com features and user events work as expected</t>
  </si>
  <si>
    <t>BLOCKED</t>
  </si>
  <si>
    <t>NOT EXECUTED</t>
  </si>
  <si>
    <t>PASS RATE</t>
  </si>
  <si>
    <t>STATUS</t>
  </si>
  <si>
    <t>Scope</t>
  </si>
  <si>
    <t>Login, Search, Product, Cart, Wishlist, Checkout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</si>
  <si>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</si>
  <si>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</si>
  <si>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</si>
  <si>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</si>
  <si>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</si>
  <si>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</si>
  <si>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</si>
  <si>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</si>
  <si>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</si>
  <si>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QA Automation Trainee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</si>
  <si>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</si>
  <si>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</si>
  <si>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</si>
  <si>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</si>
  <si>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</si>
  <si>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</si>
  <si>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</si>
  <si>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</si>
  <si>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</si>
  <si>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login functionality</t>
  </si>
  <si>
    <t>Open amazon.com → Hover Accounts &amp; Lists → Click Sign In → Enter valid credentials → Click Sign In button</t>
  </si>
  <si>
    <t>Valid credentials</t>
  </si>
  <si>
    <t>User should be logged in and redirected to home page</t>
  </si>
  <si>
    <t>Done as expected</t>
  </si>
  <si>
    <t>Passed</t>
  </si>
  <si>
    <t>TC002</t>
  </si>
  <si>
    <t>Login with invalid password</t>
  </si>
  <si>
    <t>Open Sign In → Enter registered email → Click Continue → Enter wrong password → Click Sign In</t>
  </si>
  <si>
    <t>Wrong password</t>
  </si>
  <si>
    <t>Error message "Your password is incorrect" should appear</t>
  </si>
  <si>
    <t>TC003</t>
  </si>
  <si>
    <t>Search</t>
  </si>
  <si>
    <t>Search for a product</t>
  </si>
  <si>
    <t>Open amazon.com → Enter product name in search bar (#twotabsearchtextbox) → Click Search icon</t>
  </si>
  <si>
    <t>Laptop</t>
  </si>
  <si>
    <t>Relevant products should appear in search results</t>
  </si>
  <si>
    <t>TC004</t>
  </si>
  <si>
    <t>Search with empty input</t>
  </si>
  <si>
    <t>Open amazon.com → Click search box → Keep empty → Click Search icon</t>
  </si>
  <si>
    <t>Empty</t>
  </si>
  <si>
    <t>Page stays on current screen or appropriate response appears without error</t>
  </si>
  <si>
    <t>TC005</t>
  </si>
  <si>
    <t>Product</t>
  </si>
  <si>
    <t>Open a product detail page</t>
  </si>
  <si>
    <t>Search product → Click first product link → Switch to product detail tab</t>
  </si>
  <si>
    <t>Product details page should open with price, details, and Add to Cart option</t>
  </si>
  <si>
    <t>TC006</t>
  </si>
  <si>
    <t>Cart</t>
  </si>
  <si>
    <t>Add product to cart</t>
  </si>
  <si>
    <t>Open product detail page → Click "Add to Cart" button (#add-to-cart-button)</t>
  </si>
  <si>
    <t>Available product</t>
  </si>
  <si>
    <t>Product should be added to cart and confirmation displayed</t>
  </si>
  <si>
    <t>TC007</t>
  </si>
  <si>
    <t>Remove product from cart</t>
  </si>
  <si>
    <t>Open Cart (#nav-cart) → Click "Delete" button on the item entry</t>
  </si>
  <si>
    <t>Added product</t>
  </si>
  <si>
    <t>Product should be removed from cart and count updated</t>
  </si>
  <si>
    <t>TC008</t>
  </si>
  <si>
    <t>Wishlist</t>
  </si>
  <si>
    <t>Add product to wishlist</t>
  </si>
  <si>
    <t>Open product page → Click "Add to List" button</t>
  </si>
  <si>
    <t>Product should be added to wishlist with confirmation prompt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</si>
</sst>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6">
    <font>
      <sz val="10.0"/>
      <color rgb="FF000000"/>
      <name val="Arial"/>
      <scheme val="minor"/>
    </font>
    <font>
      <sz val="10.0"/>
      <color rgb="FF000000"/>
      <name val="Arial"/>
    </font>
    <font>
      <b/>
      <sz val="12.0"/>
      <color rgb="FFFFFFFF"/>
      <name val="Google Sans"/>
    </font>
    <font/>
    <font>
      <b/>
      <sz val="10.0"/>
      <color rgb="FFFFFFFF"/>
      <name val="Google Sans"/>
    </font>
    <font>
      <b/>
      <sz val="11.0"/>
      <color rgb="FFFFFFFF"/>
      <name val="Google Sans"/>
    </font>
    <font>
      <b/>
      <sz val="10.0"/>
      <color rgb="FF1A1B1F"/>
      <name val="Google Sans"/>
    </font>
    <font>
      <sz val="10.0"/>
      <color rgb="FF1A1B1F"/>
      <name val="Google Sans"/>
    </font>
    <font>
      <b/>
      <sz val="9.0"/>
      <color rgb="FF465469"/>
      <name val="Google Sans"/>
    </font>
    <font>
      <b/>
      <sz val="16.0"/>
      <color rgb="FF1E3989"/>
      <name val="Google Sans"/>
    </font>
    <font>
      <b/>
      <sz val="16.0"/>
      <color rgb="FF059569"/>
      <name val="Google Sans"/>
    </font>
    <font>
      <b/>
      <sz val="16.0"/>
      <color rgb="FFDC2525"/>
      <name val="Google Sans"/>
    </font>
    <font>
      <b/>
      <sz val="16.0"/>
      <color rgb="FF2462EB"/>
      <name val="Google Sans"/>
    </font>
    <font>
      <b/>
      <sz val="14.0"/>
      <color rgb="FFD97706"/>
      <name val="Google Sans"/>
    </font>
    <font>
      <b/>
      <sz val="14.0"/>
      <color rgb="FF63748A"/>
      <name val="Google Sans"/>
    </font>
    <font>
      <b/>
      <sz val="14.0"/>
      <color rgb="FF0D9387"/>
      <name val="Google Sans"/>
    </font>
    <font>
      <b/>
      <sz val="11.0"/>
      <color rgb="FF4338C9"/>
      <name val="Google Sans"/>
    </font>
    <font>
      <sz val="9.0"/>
      <color rgb="FF1A1B1F"/>
      <name val="Google Sans"/>
    </font>
    <font>
      <b/>
      <sz val="9.0"/>
      <color rgb="FF0A5E28"/>
      <name val="Google Sans"/>
    </font>
    <font>
      <b/>
      <sz val="9.0"/>
      <color rgb="FFC5211F"/>
      <name val="Google Sans"/>
    </font>
    <font>
      <b/>
      <sz val="9.0"/>
      <color rgb="FF92400E"/>
      <name val="Google Sans"/>
    </font>
    <font>
      <b/>
      <sz val="9.0"/>
      <color rgb="FF465369"/>
      <name val="Google Sans"/>
    </font>
    <font>
      <i/>
      <sz val="9.0"/>
      <color rgb="FF465369"/>
      <name val="Google Sans"/>
    </font>
    <font>
      <b/>
      <sz val="10.0"/>
      <color rgb="FF1E3989"/>
      <name val="Google Sans"/>
    </font>
    <font>
      <b/>
      <sz val="10.0"/>
      <color theme="1"/>
      <name val="Google Sans"/>
    </font>
    <font>
      <sz val="10.0"/>
      <color rgb="FF1F2937"/>
      <name val="Google Sans"/>
    </font>
  </fonts>
  <fills count="8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F0F5F8"/>
        <bgColor rgb="FFF0F5F8"/>
      </patternFill>
    </fill>
    <fill>
      <patternFill patternType="solid">
        <fgColor rgb="FFF8F9FB"/>
        <bgColor rgb="FFF8F9FB"/>
      </patternFill>
    </fill>
  </fills>
  <borders count="29">
    <border/>
    <border>
      <left style="medium">
        <color rgb="FF1E3989"/>
      </left>
      <top style="medium">
        <color rgb="FF1E3989"/>
      </top>
      <bottom style="medium">
        <color rgb="FF1E3989"/>
      </bottom>
    </border>
    <border>
      <top style="medium">
        <color rgb="FF1E3989"/>
      </top>
      <bottom style="medium">
        <color rgb="FF1E3989"/>
      </bottom>
    </border>
    <border>
      <right style="medium">
        <color rgb="FF1E3989"/>
      </right>
      <top style="medium">
        <color rgb="FF1E3989"/>
      </top>
      <bottom style="medium">
        <color rgb="FF1E3989"/>
      </bottom>
    </border>
    <border>
      <left style="medium">
        <color rgb="FF2A4678"/>
      </left>
      <right style="thin">
        <color rgb="FFD8DDEA"/>
      </right>
      <bottom style="thin">
        <color rgb="FFD8DDEA"/>
      </bottom>
    </border>
    <border>
      <left style="thin">
        <color rgb="FFD8DDEA"/>
      </left>
      <right style="medium">
        <color rgb="FF2A4678"/>
      </right>
      <bottom style="thin">
        <color rgb="FFD8DDEA"/>
      </bottom>
    </border>
    <border>
      <left style="medium">
        <color rgb="FF1E3989"/>
      </left>
      <top style="medium">
        <color rgb="FF1E3989"/>
      </top>
      <bottom style="thin">
        <color rgb="FFD1D8E5"/>
      </bottom>
    </border>
    <border>
      <top style="medium">
        <color rgb="FF1E3989"/>
      </top>
      <bottom style="thin">
        <color rgb="FFD1D8E5"/>
      </bottom>
    </border>
    <border>
      <right style="medium">
        <color rgb="FF1E3989"/>
      </right>
      <top style="medium">
        <color rgb="FF1E3989"/>
      </top>
      <bottom style="thin">
        <color rgb="FFD1D8E5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bottom style="thin">
        <color rgb="FFE1E8EF"/>
      </bottom>
    </border>
    <border>
      <left style="thin">
        <color rgb="FFE1E8EF"/>
      </left>
      <right style="medium">
        <color rgb="FF1E3989"/>
      </right>
      <bottom style="thin">
        <color rgb="FFE1E8EF"/>
      </bottom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</border>
    <border>
      <left style="medium">
        <color rgb="FF1E3989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left" shrinkToFit="0" vertical="center" wrapText="1"/>
    </xf>
    <xf borderId="5" fillId="3" fontId="4" numFmtId="0" xfId="0" applyAlignment="1" applyBorder="1" applyFill="1" applyFont="1">
      <alignment horizontal="left" shrinkToFit="0" vertical="center" wrapText="1"/>
    </xf>
    <xf borderId="6" fillId="2" fontId="5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4" fontId="6" numFmtId="0" xfId="0" applyAlignment="1" applyBorder="1" applyFill="1" applyFont="1">
      <alignment horizontal="left" shrinkToFit="0" vertical="center" wrapText="1"/>
    </xf>
    <xf borderId="10" fillId="5" fontId="7" numFmtId="0" xfId="0" applyAlignment="1" applyBorder="1" applyFill="1" applyFont="1">
      <alignment horizontal="left" shrinkToFit="0" vertical="center" wrapText="1"/>
    </xf>
    <xf borderId="11" fillId="6" fontId="8" numFmtId="0" xfId="0" applyAlignment="1" applyBorder="1" applyFill="1" applyFont="1">
      <alignment horizontal="center" vertical="center"/>
    </xf>
    <xf borderId="12" fillId="6" fontId="8" numFmtId="0" xfId="0" applyAlignment="1" applyBorder="1" applyFill="1" applyFont="1">
      <alignment horizontal="center" vertical="center"/>
    </xf>
    <xf borderId="13" fillId="6" fontId="8" numFmtId="0" xfId="0" applyAlignment="1" applyBorder="1" applyFill="1" applyFont="1">
      <alignment horizontal="center" vertical="center"/>
    </xf>
    <xf borderId="11" fillId="5" fontId="9" numFmtId="3" xfId="0" applyAlignment="1" applyBorder="1" applyFill="1" applyFont="1" applyNumberFormat="1">
      <alignment horizontal="center" vertical="center"/>
    </xf>
    <xf borderId="12" fillId="5" fontId="10" numFmtId="3" xfId="0" applyAlignment="1" applyBorder="1" applyFill="1" applyFont="1" applyNumberFormat="1">
      <alignment horizontal="center" vertical="center"/>
    </xf>
    <xf borderId="12" fillId="5" fontId="11" numFmtId="3" xfId="0" applyAlignment="1" applyBorder="1" applyFill="1" applyFont="1" applyNumberFormat="1">
      <alignment horizontal="center" vertical="center"/>
    </xf>
    <xf borderId="13" fillId="5" fontId="12" numFmtId="164" xfId="0" applyAlignment="1" applyBorder="1" applyFill="1" applyFont="1" applyNumberFormat="1">
      <alignment horizontal="center" vertical="center"/>
    </xf>
    <xf borderId="14" fillId="5" fontId="13" numFmtId="3" xfId="0" applyAlignment="1" applyBorder="1" applyFill="1" applyFont="1" applyNumberFormat="1">
      <alignment horizontal="center" vertical="center"/>
    </xf>
    <xf borderId="15" fillId="5" fontId="14" numFmtId="3" xfId="0" applyAlignment="1" applyBorder="1" applyFill="1" applyFont="1" applyNumberFormat="1">
      <alignment horizontal="center" vertical="center"/>
    </xf>
    <xf borderId="15" fillId="5" fontId="15" numFmtId="164" xfId="0" applyAlignment="1" applyBorder="1" applyFill="1" applyFont="1" applyNumberFormat="1">
      <alignment horizontal="center" vertical="center"/>
    </xf>
    <xf borderId="16" fillId="5" fontId="16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7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center" vertical="center"/>
    </xf>
    <xf borderId="17" fillId="4" fontId="6" numFmtId="0" xfId="0" applyAlignment="1" applyBorder="1" applyFill="1" applyFont="1">
      <alignment horizontal="left" shrinkToFit="0" vertical="center" wrapText="1"/>
    </xf>
    <xf borderId="18" fillId="5" fontId="7" numFmtId="0" xfId="0" applyAlignment="1" applyBorder="1" applyFill="1" applyFont="1">
      <alignment horizontal="left" shrinkToFit="0" vertical="center" wrapText="1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19" fillId="2" fontId="4" numFmtId="0" xfId="0" applyAlignment="1" applyBorder="1" applyFill="1" applyFont="1">
      <alignment horizontal="center" shrinkToFit="0" vertical="center" wrapText="1"/>
    </xf>
    <xf borderId="20" fillId="2" fontId="4" numFmtId="0" xfId="0" applyAlignment="1" applyBorder="1" applyFill="1" applyFont="1">
      <alignment horizontal="left" shrinkToFit="0" vertical="center" wrapText="1"/>
    </xf>
    <xf borderId="21" fillId="2" fontId="4" numFmtId="0" xfId="0" applyAlignment="1" applyBorder="1" applyFill="1" applyFont="1">
      <alignment horizontal="left" shrinkToFit="0" vertical="center" wrapText="1"/>
    </xf>
    <xf borderId="21" fillId="2" fontId="4" numFmtId="0" xfId="0" applyAlignment="1" applyBorder="1" applyFill="1" applyFont="1">
      <alignment horizontal="center" shrinkToFit="0" vertical="center" wrapText="1"/>
    </xf>
    <xf borderId="22" fillId="2" fontId="4" numFmtId="0" xfId="0" applyAlignment="1" applyBorder="1" applyFill="1" applyFont="1">
      <alignment horizontal="center" shrinkToFit="0" vertical="center" wrapText="1"/>
    </xf>
    <xf borderId="23" fillId="5" fontId="23" numFmtId="0" xfId="0" applyAlignment="1" applyBorder="1" applyFill="1" applyFont="1">
      <alignment horizontal="center" shrinkToFit="0" vertical="center" wrapText="1"/>
    </xf>
    <xf borderId="24" fillId="5" fontId="24" numFmtId="0" xfId="0" applyAlignment="1" applyBorder="1" applyFill="1" applyFont="1">
      <alignment horizontal="left" shrinkToFit="0" vertical="center" wrapText="1"/>
    </xf>
    <xf borderId="24" fillId="5" fontId="25" numFmtId="0" xfId="0" applyAlignment="1" applyBorder="1" applyFill="1" applyFont="1">
      <alignment horizontal="left" shrinkToFit="0" vertical="center" wrapText="1"/>
    </xf>
    <xf borderId="24" fillId="5" fontId="25" numFmtId="0" xfId="0" applyAlignment="1" applyBorder="1" applyFill="1" applyFont="1">
      <alignment horizontal="center" shrinkToFit="0" vertical="center" wrapText="1"/>
    </xf>
    <xf borderId="25" fillId="5" fontId="25" numFmtId="0" xfId="0" applyAlignment="1" applyBorder="1" applyFill="1" applyFont="1">
      <alignment horizontal="center" shrinkToFit="0" vertical="center" wrapText="1"/>
    </xf>
    <xf borderId="23" fillId="7" fontId="23" numFmtId="0" xfId="0" applyAlignment="1" applyBorder="1" applyFill="1" applyFont="1">
      <alignment horizontal="center" shrinkToFit="0" vertical="center" wrapText="1"/>
    </xf>
    <xf borderId="24" fillId="7" fontId="24" numFmtId="0" xfId="0" applyAlignment="1" applyBorder="1" applyFill="1" applyFont="1">
      <alignment horizontal="left" shrinkToFit="0" vertical="center" wrapText="1"/>
    </xf>
    <xf borderId="24" fillId="7" fontId="25" numFmtId="0" xfId="0" applyAlignment="1" applyBorder="1" applyFill="1" applyFont="1">
      <alignment horizontal="left" shrinkToFit="0" vertical="center" wrapText="1"/>
    </xf>
    <xf borderId="24" fillId="7" fontId="25" numFmtId="0" xfId="0" applyAlignment="1" applyBorder="1" applyFill="1" applyFont="1">
      <alignment horizontal="center" shrinkToFit="0" vertical="center" wrapText="1"/>
    </xf>
    <xf borderId="25" fillId="7" fontId="25" numFmtId="0" xfId="0" applyAlignment="1" applyBorder="1" applyFill="1" applyFont="1">
      <alignment horizontal="center" shrinkToFit="0" vertical="center" wrapText="1"/>
    </xf>
    <xf borderId="26" fillId="7" fontId="23" numFmtId="0" xfId="0" applyAlignment="1" applyBorder="1" applyFill="1" applyFont="1">
      <alignment horizontal="center" shrinkToFit="0" vertical="center" wrapText="1"/>
    </xf>
    <xf borderId="27" fillId="7" fontId="24" numFmtId="0" xfId="0" applyAlignment="1" applyBorder="1" applyFill="1" applyFont="1">
      <alignment horizontal="left" shrinkToFit="0" vertical="center" wrapText="1"/>
    </xf>
    <xf borderId="27" fillId="7" fontId="25" numFmtId="0" xfId="0" applyAlignment="1" applyBorder="1" applyFill="1" applyFont="1">
      <alignment horizontal="left" shrinkToFit="0" vertical="center" wrapText="1"/>
    </xf>
    <xf borderId="27" fillId="7" fontId="25" numFmtId="0" xfId="0" applyAlignment="1" applyBorder="1" applyFill="1" applyFont="1">
      <alignment horizontal="center" shrinkToFit="0" vertical="center" wrapText="1"/>
    </xf>
    <xf borderId="28" fillId="7" fontId="2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7.63"/>
    <col customWidth="1" min="3" max="3" width="36.0"/>
    <col customWidth="1" min="4" max="4" width="43.88"/>
    <col customWidth="1" min="5" max="5" width="20.13"/>
    <col customWidth="1" min="6" max="6" width="31.38"/>
    <col customWidth="1" min="7" max="7" width="21.38"/>
    <col customWidth="1" min="8" max="8" width="22.63"/>
  </cols>
  <sheetData>
    <row r="1" ht="30.0" customHeight="1">
      <c r="A1" s="1"/>
      <c r="B1" s="2" t="s">
        <v>0</v>
      </c>
      <c r="C1" s="3"/>
      <c r="D1" s="3"/>
      <c r="E1" s="3"/>
      <c r="F1" s="3"/>
      <c r="G1" s="3"/>
      <c r="H1" s="4"/>
    </row>
    <row r="2" ht="22.5" customHeight="1">
      <c r="A2" s="1"/>
      <c r="B2" s="5" t="s">
        <v>1</v>
      </c>
      <c r="C2" s="6" t="s">
        <v>2</v>
      </c>
      <c r="D2" s="1"/>
      <c r="E2" s="7" t="s">
        <v>3</v>
      </c>
      <c r="F2" s="8"/>
      <c r="G2" s="8"/>
      <c r="H2" s="9"/>
    </row>
    <row r="3" ht="19.5" customHeight="1">
      <c r="A3" s="1"/>
      <c r="B3" s="10" t="s">
        <v>4</v>
      </c>
      <c r="C3" s="11" t="s">
        <v>5</v>
      </c>
      <c r="D3" s="1"/>
      <c r="E3" s="12" t="s">
        <v>6</v>
      </c>
      <c r="F3" s="13" t="s">
        <v>7</v>
      </c>
      <c r="G3" s="13" t="s">
        <v>8</v>
      </c>
      <c r="H3" s="14" t="s">
        <v>9</v>
      </c>
    </row>
    <row r="4" ht="28.5" customHeight="1">
      <c r="A4" s="1"/>
      <c r="B4" s="10" t="s">
        <v>10</v>
      </c>
      <c r="C4" s="11" t="s">
        <v>11</v>
      </c>
      <c r="D4" s="1"/>
      <c r="E4" s="15">
        <f>COUNTA(A14:A21)</f>
        <v>8</v>
      </c>
      <c r="F4" s="16">
        <f>COUNTIF(H14:H21, "Passed")</f>
        <v>8</v>
      </c>
      <c r="G4" s="17">
        <f>COUNTIF(H14:H21, "Failed")</f>
        <v>0</v>
      </c>
      <c r="H4" s="18">
        <f>IF(COUNTA(A14:A21)=0, 0, COUNTIF(H14:H21, "&lt;&gt;Not Executed")/COUNTA(A14:A21))</f>
        <v>1</v>
      </c>
    </row>
    <row r="5" ht="19.5" customHeight="1">
      <c r="A5" s="1"/>
      <c r="B5" s="10" t="s">
        <v>12</v>
      </c>
      <c r="C5" s="11" t="s">
        <v>13</v>
      </c>
      <c r="D5" s="1"/>
      <c r="E5" s="12" t="s">
        <v>14</v>
      </c>
      <c r="F5" s="13" t="s">
        <v>15</v>
      </c>
      <c r="G5" s="13" t="s">
        <v>16</v>
      </c>
      <c r="H5" s="14" t="s">
        <v>17</v>
      </c>
    </row>
    <row r="6" ht="25.5" customHeight="1">
      <c r="A6" s="1"/>
      <c r="B6" s="10" t="s">
        <v>18</v>
      </c>
      <c r="C6" s="11" t="s">
        <v>19</v>
      </c>
      <c r="D6" s="1"/>
      <c r="E6" s="19">
        <f>COUNTIF(H14:H21, "Blocked")</f>
        <v>0</v>
      </c>
      <c r="F6" s="20">
        <f>COUNTIF(H14:H21, "Not Executed")</f>
        <v>0</v>
      </c>
      <c r="G6" s="21">
        <f>IFERROR(COUNTIF(H14:H21, "Passed")/(COUNTIF(H14:H21, "Passed")+COUNTIF(H14:H21, "Failed")), 0)</f>
        <v>1</v>
      </c>
      <c r="H6" s="22" t="str">
        <f>IF(H4=1, "Completed", IF(H4&gt;0, "In Progress", "Not Started"))</f>
        <v>Completed</v>
      </c>
    </row>
    <row r="7" ht="19.5" customHeight="1">
      <c r="A7" s="1"/>
      <c r="B7" s="10" t="s">
        <v>20</v>
      </c>
      <c r="C7" s="11" t="s">
        <v>21</v>
      </c>
      <c r="D7" s="1"/>
      <c r="E7" s="1"/>
      <c r="F7" s="1"/>
      <c r="G7" s="1"/>
      <c r="H7" s="1"/>
    </row>
    <row r="8" ht="19.5" customHeight="1">
      <c r="A8" s="1"/>
      <c r="B8" s="10" t="s">
        <v>22</v>
      </c>
      <c r="C8" s="11" t="s">
        <v>23</v>
      </c>
      <c r="D8" s="1"/>
      <c r="E8" s="23"/>
    </row>
    <row r="9" ht="19.5" customHeight="1">
      <c r="A9" s="1"/>
      <c r="B9" s="10" t="s">
        <v>24</v>
      </c>
      <c r="C9" s="11" t="s">
        <v>25</v>
      </c>
      <c r="D9" s="1"/>
      <c r="E9" s="24"/>
    </row>
    <row r="10" ht="21.0" customHeight="1">
      <c r="A10" s="1"/>
      <c r="B10" s="10" t="s">
        <v>26</v>
      </c>
      <c r="C10" s="11" t="s">
        <v>27</v>
      </c>
      <c r="D10" s="1"/>
      <c r="E10" s="25"/>
      <c r="F10" s="26"/>
      <c r="G10" s="27"/>
      <c r="H10" s="26"/>
    </row>
    <row r="11" ht="21.0" customHeight="1">
      <c r="A11" s="1"/>
      <c r="B11" s="28" t="s">
        <v>28</v>
      </c>
      <c r="C11" s="29" t="s">
        <v>29</v>
      </c>
      <c r="D11" s="1"/>
      <c r="E11" s="30"/>
      <c r="F11" s="26"/>
      <c r="G11" s="31"/>
      <c r="H11" s="26"/>
    </row>
    <row r="12" ht="21.0" customHeight="1">
      <c r="A12" s="1"/>
      <c r="B12" s="1"/>
      <c r="C12" s="1"/>
      <c r="D12" s="1"/>
      <c r="E12" s="32"/>
    </row>
    <row r="13" ht="27.0" customHeight="1">
      <c r="A13" s="33" t="s">
        <v>30</v>
      </c>
      <c r="B13" s="34" t="s">
        <v>31</v>
      </c>
      <c r="C13" s="34" t="s">
        <v>32</v>
      </c>
      <c r="D13" s="35" t="s">
        <v>33</v>
      </c>
      <c r="E13" s="35" t="s">
        <v>26</v>
      </c>
      <c r="F13" s="35" t="s">
        <v>34</v>
      </c>
      <c r="G13" s="36" t="s">
        <v>35</v>
      </c>
      <c r="H13" s="37" t="s">
        <v>36</v>
      </c>
    </row>
    <row r="14" ht="25.5" customHeight="1">
      <c r="A14" s="38" t="s">
        <v>37</v>
      </c>
      <c r="B14" s="39" t="s">
        <v>38</v>
      </c>
      <c r="C14" s="40" t="s">
        <v>39</v>
      </c>
      <c r="D14" s="40" t="s">
        <v>40</v>
      </c>
      <c r="E14" s="40" t="s">
        <v>41</v>
      </c>
      <c r="F14" s="40" t="s">
        <v>42</v>
      </c>
      <c r="G14" s="41" t="s">
        <v>43</v>
      </c>
      <c r="H14" s="42" t="s">
        <v>44</v>
      </c>
    </row>
    <row r="15" ht="25.5" customHeight="1">
      <c r="A15" s="43" t="s">
        <v>45</v>
      </c>
      <c r="B15" s="44" t="s">
        <v>38</v>
      </c>
      <c r="C15" s="45" t="s">
        <v>46</v>
      </c>
      <c r="D15" s="45" t="s">
        <v>47</v>
      </c>
      <c r="E15" s="45" t="s">
        <v>48</v>
      </c>
      <c r="F15" s="45" t="s">
        <v>49</v>
      </c>
      <c r="G15" s="46" t="s">
        <v>43</v>
      </c>
      <c r="H15" s="47" t="s">
        <v>44</v>
      </c>
    </row>
    <row r="16" ht="25.5" customHeight="1">
      <c r="A16" s="38" t="s">
        <v>50</v>
      </c>
      <c r="B16" s="39" t="s">
        <v>51</v>
      </c>
      <c r="C16" s="40" t="s">
        <v>52</v>
      </c>
      <c r="D16" s="40" t="s">
        <v>53</v>
      </c>
      <c r="E16" s="40" t="s">
        <v>54</v>
      </c>
      <c r="F16" s="40" t="s">
        <v>55</v>
      </c>
      <c r="G16" s="41" t="s">
        <v>43</v>
      </c>
      <c r="H16" s="42" t="s">
        <v>44</v>
      </c>
    </row>
    <row r="17" ht="25.5" customHeight="1">
      <c r="A17" s="43" t="s">
        <v>56</v>
      </c>
      <c r="B17" s="44" t="s">
        <v>51</v>
      </c>
      <c r="C17" s="45" t="s">
        <v>57</v>
      </c>
      <c r="D17" s="45" t="s">
        <v>58</v>
      </c>
      <c r="E17" s="45" t="s">
        <v>59</v>
      </c>
      <c r="F17" s="45" t="s">
        <v>60</v>
      </c>
      <c r="G17" s="46" t="s">
        <v>43</v>
      </c>
      <c r="H17" s="47" t="s">
        <v>44</v>
      </c>
    </row>
    <row r="18" ht="25.5" customHeight="1">
      <c r="A18" s="38" t="s">
        <v>61</v>
      </c>
      <c r="B18" s="39" t="s">
        <v>62</v>
      </c>
      <c r="C18" s="40" t="s">
        <v>63</v>
      </c>
      <c r="D18" s="40" t="s">
        <v>64</v>
      </c>
      <c r="E18" s="40" t="s">
        <v>54</v>
      </c>
      <c r="F18" s="40" t="s">
        <v>65</v>
      </c>
      <c r="G18" s="41" t="s">
        <v>43</v>
      </c>
      <c r="H18" s="42" t="s">
        <v>44</v>
      </c>
    </row>
    <row r="19" ht="25.5" customHeight="1">
      <c r="A19" s="43" t="s">
        <v>66</v>
      </c>
      <c r="B19" s="44" t="s">
        <v>67</v>
      </c>
      <c r="C19" s="45" t="s">
        <v>68</v>
      </c>
      <c r="D19" s="45" t="s">
        <v>69</v>
      </c>
      <c r="E19" s="45" t="s">
        <v>70</v>
      </c>
      <c r="F19" s="45" t="s">
        <v>71</v>
      </c>
      <c r="G19" s="46" t="s">
        <v>43</v>
      </c>
      <c r="H19" s="47" t="s">
        <v>44</v>
      </c>
    </row>
    <row r="20" ht="25.5" customHeight="1">
      <c r="A20" s="38" t="s">
        <v>72</v>
      </c>
      <c r="B20" s="39" t="s">
        <v>67</v>
      </c>
      <c r="C20" s="40" t="s">
        <v>73</v>
      </c>
      <c r="D20" s="40" t="s">
        <v>74</v>
      </c>
      <c r="E20" s="40" t="s">
        <v>75</v>
      </c>
      <c r="F20" s="40" t="s">
        <v>76</v>
      </c>
      <c r="G20" s="41" t="s">
        <v>43</v>
      </c>
      <c r="H20" s="42" t="s">
        <v>44</v>
      </c>
    </row>
    <row r="21" ht="25.5" customHeight="1">
      <c r="A21" s="48" t="s">
        <v>77</v>
      </c>
      <c r="B21" s="49" t="s">
        <v>78</v>
      </c>
      <c r="C21" s="50" t="s">
        <v>79</v>
      </c>
      <c r="D21" s="50" t="s">
        <v>80</v>
      </c>
      <c r="E21" s="50" t="s">
        <v>70</v>
      </c>
      <c r="F21" s="50" t="s">
        <v>81</v>
      </c>
      <c r="G21" s="51" t="s">
        <v>43</v>
      </c>
      <c r="H21" s="52" t="s">
        <v>44</v>
      </c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5">
    <mergeCell ref="B1:H1"/>
    <mergeCell ref="E2:H2"/>
    <mergeCell ref="E8:H8"/>
    <mergeCell ref="E9:H9"/>
    <mergeCell ref="E12:H12"/>
  </mergeCells>
  <dataValidations>
    <dataValidation type="list" allowBlank="1" sqref="G14:G21">
      <formula1>"Done as expected,Issue observed,Pending,Other result observed"</formula1>
    </dataValidation>
    <dataValidation type="list" allowBlank="1" sqref="H14:H21">
      <formula1>"Passed,Failed,Blocked,Not Executed"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